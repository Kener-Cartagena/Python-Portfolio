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er\Desktop\Programación\Big_Proyects\GestorInversiones\"/>
    </mc:Choice>
  </mc:AlternateContent>
  <xr:revisionPtr revIDLastSave="0" documentId="13_ncr:9_{933A18D2-D79C-4D00-AF18-70BB73C17656}" xr6:coauthVersionLast="47" xr6:coauthVersionMax="47" xr10:uidLastSave="{00000000-0000-0000-0000-000000000000}"/>
  <bookViews>
    <workbookView xWindow="-108" yWindow="-108" windowWidth="23256" windowHeight="12456" xr2:uid="{C46058A6-920A-4BA1-9DF5-2D05AD61AA42}"/>
  </bookViews>
  <sheets>
    <sheet name="DashBoard" sheetId="6" r:id="rId1"/>
    <sheet name="reporte_inversiones" sheetId="1" r:id="rId2"/>
  </sheets>
  <definedNames>
    <definedName name="SegmentaciónDeDatos_ticker">#N/A</definedName>
    <definedName name="SegmentaciónDeDatos_tipo">#N/A</definedName>
  </definedNames>
  <calcPr calcId="0"/>
  <pivotCaches>
    <pivotCache cacheId="24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<sst xmlns="http://schemas.openxmlformats.org/spreadsheetml/2006/main" count="30" uniqueCount="20">
  <si>
    <t>fecha</t>
  </si>
  <si>
    <t>ticker</t>
  </si>
  <si>
    <t>cantidad</t>
  </si>
  <si>
    <t>tipo</t>
  </si>
  <si>
    <t>precio_actual</t>
  </si>
  <si>
    <t>precio_compra</t>
  </si>
  <si>
    <t>valor_actual</t>
  </si>
  <si>
    <t>ganancia_perdida</t>
  </si>
  <si>
    <t>MPLX</t>
  </si>
  <si>
    <t>Compra</t>
  </si>
  <si>
    <t>SHV</t>
  </si>
  <si>
    <t>JNJ</t>
  </si>
  <si>
    <t>MSFT</t>
  </si>
  <si>
    <t>NVDA</t>
  </si>
  <si>
    <t>TOTALES</t>
  </si>
  <si>
    <t>Etiquetas de fila</t>
  </si>
  <si>
    <t>Total general</t>
  </si>
  <si>
    <t>Suma de valor_actual</t>
  </si>
  <si>
    <t>Suma de ganancia_perdida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</si>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</sst>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15" xfId="0" applyNumberFormat="1" applyBorder="1"/>
    <xf numFmtId="0" fontId="0" fillId="0" borderId="18" xfId="0" applyNumberFormat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14" xfId="0" applyFill="1" applyBorder="1"/>
    <xf numFmtId="0" fontId="0" fillId="33" borderId="0" xfId="0" applyFill="1" applyBorder="1"/>
    <xf numFmtId="0" fontId="0" fillId="33" borderId="15" xfId="0" applyFill="1" applyBorder="1"/>
    <xf numFmtId="0" fontId="0" fillId="33" borderId="16" xfId="0" applyFill="1" applyBorder="1"/>
    <xf numFmtId="0" fontId="0" fillId="33" borderId="17" xfId="0" applyFill="1" applyBorder="1"/>
    <xf numFmtId="0" fontId="0" fillId="33" borderId="18" xfId="0" applyFill="1" applyBorder="1"/>
    <xf numFmtId="0" fontId="0" fillId="0" borderId="19" xfId="0" pivotButton="1" applyBorder="1"/>
    <xf numFmtId="0" fontId="0" fillId="0" borderId="20" xfId="0" applyBorder="1"/>
    <xf numFmtId="0" fontId="0" fillId="0" borderId="11" xfId="0" applyNumberFormat="1" applyBorder="1"/>
    <xf numFmtId="0" fontId="0" fillId="0" borderId="13" xfId="0" applyNumberFormat="1" applyBorder="1"/>
    <xf numFmtId="0" fontId="0" fillId="0" borderId="16" xfId="0" applyNumberFormat="1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9" xfId="0" applyBorder="1"/>
    <xf numFmtId="0" fontId="0" fillId="0" borderId="14" xfId="0" applyNumberFormat="1" applyBorder="1"/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34" borderId="15" xfId="0" applyFill="1" applyBorder="1"/>
    <xf numFmtId="0" fontId="0" fillId="34" borderId="14" xfId="0" applyFill="1" applyBorder="1"/>
    <xf numFmtId="0" fontId="0" fillId="34" borderId="0" xfId="0" applyFill="1" applyBorder="1"/>
    <xf numFmtId="0" fontId="0" fillId="34" borderId="16" xfId="0" applyFill="1" applyBorder="1"/>
    <xf numFmtId="0" fontId="0" fillId="34" borderId="17" xfId="0" applyFill="1" applyBorder="1"/>
    <xf numFmtId="0" fontId="0" fillId="34" borderId="18" xfId="0" applyFill="1" applyBorder="1"/>
    <xf numFmtId="0" fontId="0" fillId="34" borderId="13" xfId="0" applyFill="1" applyBorder="1"/>
    <xf numFmtId="0" fontId="0" fillId="34" borderId="12" xfId="0" applyFill="1" applyBorder="1"/>
    <xf numFmtId="0" fontId="0" fillId="34" borderId="11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3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[Dashboard.xlsx]DashBoard!TablaDinámica5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DashBoard!$I$4</c:f>
              <c:strCache>
                <c:ptCount val="1"/>
                <c:pt idx="0">
                  <c:v>Suma de valor_actual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DashBoard!$H$5:$H$10</c:f>
              <c:strCache>
                <c:ptCount val="5"/>
                <c:pt idx="0">
                  <c:v>JNJ</c:v>
                </c:pt>
                <c:pt idx="1">
                  <c:v>MPLX</c:v>
                </c:pt>
                <c:pt idx="2">
                  <c:v>MSFT</c:v>
                </c:pt>
                <c:pt idx="3">
                  <c:v>NVDA</c:v>
                </c:pt>
                <c:pt idx="4">
                  <c:v>SHV</c:v>
                </c:pt>
              </c:strCache>
            </c:strRef>
          </c:cat>
          <c:val>
            <c:numRef>
              <c:f>DashBoard!$I$5:$I$10</c:f>
              <c:numCache>
                <c:formatCode>General</c:formatCode>
                <c:ptCount val="5"/>
                <c:pt idx="0">
                  <c:v>18.720731999999899</c:v>
                </c:pt>
                <c:pt idx="1">
                  <c:v>14.850871999999899</c:v>
                </c:pt>
                <c:pt idx="2">
                  <c:v>16.2858965</c:v>
                </c:pt>
                <c:pt idx="3">
                  <c:v>18.149600700000001</c:v>
                </c:pt>
                <c:pt idx="4">
                  <c:v>15.0074179999999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9-4B1E-A9D5-CB71356E164D}"/>
            </c:ext>
          </c:extLst>
        </c:ser>
        <c:ser>
          <c:idx val="1"/>
          <c:order val="1"/>
          <c:tx>
            <c:strRef>
              <c:f>DashBoard!$J$4</c:f>
              <c:strCache>
                <c:ptCount val="1"/>
                <c:pt idx="0">
                  <c:v>Suma de ganancia_perdida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DashBoard!$H$5:$H$10</c:f>
              <c:strCache>
                <c:ptCount val="5"/>
                <c:pt idx="0">
                  <c:v>JNJ</c:v>
                </c:pt>
                <c:pt idx="1">
                  <c:v>MPLX</c:v>
                </c:pt>
                <c:pt idx="2">
                  <c:v>MSFT</c:v>
                </c:pt>
                <c:pt idx="3">
                  <c:v>NVDA</c:v>
                </c:pt>
                <c:pt idx="4">
                  <c:v>SHV</c:v>
                </c:pt>
              </c:strCache>
            </c:strRef>
          </c:cat>
          <c:val>
            <c:numRef>
              <c:f>DashBoard!$J$5:$J$10</c:f>
              <c:numCache>
                <c:formatCode>General</c:formatCode>
                <c:ptCount val="5"/>
                <c:pt idx="0">
                  <c:v>1.2522419999999901</c:v>
                </c:pt>
                <c:pt idx="1">
                  <c:v>-0.20756139999999901</c:v>
                </c:pt>
                <c:pt idx="2">
                  <c:v>0.40359519999999899</c:v>
                </c:pt>
                <c:pt idx="3">
                  <c:v>1.5179933999999899</c:v>
                </c:pt>
                <c:pt idx="4">
                  <c:v>-1.6327200000000899E-2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9-4B1E-A9D5-CB71356E1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4785759"/>
        <c:axId val="1084783839"/>
        <c:axId val="0"/>
      </c:bar3DChart>
      <c:catAx>
        <c:axId val="1084785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4783839"/>
        <c:crosses val="autoZero"/>
        <c:auto val="1"/>
        <c:lblAlgn val="ctr"/>
        <c:lblOffset val="100"/>
        <c:noMultiLvlLbl val="0"/>
      </c:catAx>
      <c:valAx>
        <c:axId val="108478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478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[Dashboard.xlsx]DashBoard!TablaDinámica5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DashBoard!$I$4</c:f>
              <c:strCache>
                <c:ptCount val="1"/>
                <c:pt idx="0">
                  <c:v>Suma de valor_actual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DashBoard!$H$5:$H$10</c:f>
              <c:strCache>
                <c:ptCount val="5"/>
                <c:pt idx="0">
                  <c:v>JNJ</c:v>
                </c:pt>
                <c:pt idx="1">
                  <c:v>MPLX</c:v>
                </c:pt>
                <c:pt idx="2">
                  <c:v>MSFT</c:v>
                </c:pt>
                <c:pt idx="3">
                  <c:v>NVDA</c:v>
                </c:pt>
                <c:pt idx="4">
                  <c:v>SHV</c:v>
                </c:pt>
              </c:strCache>
            </c:strRef>
          </c:cat>
          <c:val>
            <c:numRef>
              <c:f>DashBoard!$I$5:$I$10</c:f>
              <c:numCache>
                <c:formatCode>General</c:formatCode>
                <c:ptCount val="5"/>
                <c:pt idx="0">
                  <c:v>18.720731999999899</c:v>
                </c:pt>
                <c:pt idx="1">
                  <c:v>14.850871999999899</c:v>
                </c:pt>
                <c:pt idx="2">
                  <c:v>16.2858965</c:v>
                </c:pt>
                <c:pt idx="3">
                  <c:v>18.149600700000001</c:v>
                </c:pt>
                <c:pt idx="4">
                  <c:v>15.0074179999999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B-42FA-9203-11258EF4A275}"/>
            </c:ext>
          </c:extLst>
        </c:ser>
        <c:ser>
          <c:idx val="1"/>
          <c:order val="1"/>
          <c:tx>
            <c:strRef>
              <c:f>DashBoard!$J$4</c:f>
              <c:strCache>
                <c:ptCount val="1"/>
                <c:pt idx="0">
                  <c:v>Suma de ganancia_perdida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DashBoard!$H$5:$H$10</c:f>
              <c:strCache>
                <c:ptCount val="5"/>
                <c:pt idx="0">
                  <c:v>JNJ</c:v>
                </c:pt>
                <c:pt idx="1">
                  <c:v>MPLX</c:v>
                </c:pt>
                <c:pt idx="2">
                  <c:v>MSFT</c:v>
                </c:pt>
                <c:pt idx="3">
                  <c:v>NVDA</c:v>
                </c:pt>
                <c:pt idx="4">
                  <c:v>SHV</c:v>
                </c:pt>
              </c:strCache>
            </c:strRef>
          </c:cat>
          <c:val>
            <c:numRef>
              <c:f>DashBoard!$J$5:$J$10</c:f>
              <c:numCache>
                <c:formatCode>General</c:formatCode>
                <c:ptCount val="5"/>
                <c:pt idx="0">
                  <c:v>1.2522419999999901</c:v>
                </c:pt>
                <c:pt idx="1">
                  <c:v>-0.20756139999999901</c:v>
                </c:pt>
                <c:pt idx="2">
                  <c:v>0.40359519999999899</c:v>
                </c:pt>
                <c:pt idx="3">
                  <c:v>1.5179933999999899</c:v>
                </c:pt>
                <c:pt idx="4">
                  <c:v>-1.6327200000000899E-2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BB-42FA-9203-11258EF4A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4780959"/>
        <c:axId val="1084782399"/>
        <c:axId val="0"/>
      </c:bar3DChart>
      <c:catAx>
        <c:axId val="108478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4782399"/>
        <c:crosses val="autoZero"/>
        <c:auto val="1"/>
        <c:lblAlgn val="ctr"/>
        <c:lblOffset val="100"/>
        <c:noMultiLvlLbl val="0"/>
      </c:catAx>
      <c:valAx>
        <c:axId val="108478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478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112060</xdr:colOff>
      <xdr:row>0</xdr:row>
      <xdr:rowOff>134472</xdr:rowOff>
    </xdr:from>
    <xdr:to>
      <xdr:col>3</xdr:col>
      <xdr:colOff>584500</xdr:colOff>
      <xdr:row>15</xdr:row>
      <xdr:rowOff>134472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5350E1-6A48-F952-CF7A-C07D1A456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112060</xdr:colOff>
      <xdr:row>16</xdr:row>
      <xdr:rowOff>82601</xdr:rowOff>
    </xdr:from>
    <xdr:to>
      <xdr:col>3</xdr:col>
      <xdr:colOff>584500</xdr:colOff>
      <xdr:row>31</xdr:row>
      <xdr:rowOff>82601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46D9B7-FEBB-2F5C-1EA4-492F5FFC2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713443</xdr:colOff>
      <xdr:row>0</xdr:row>
      <xdr:rowOff>136595</xdr:rowOff>
    </xdr:from>
    <xdr:to>
      <xdr:col>6</xdr:col>
      <xdr:colOff>158776</xdr:colOff>
      <xdr:row>13</xdr:row>
      <xdr:rowOff>167780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ticker">
              <a:extLst>
                <a:ext uri="{FF2B5EF4-FFF2-40B4-BE49-F238E27FC236}">
                  <a16:creationId xmlns:a16="http://schemas.microsoft.com/office/drawing/2014/main" id="{F684E773-916E-1C14-B64F-EF41386A83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ck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67245" y="136595"/>
              <a:ext cx="1831817" cy="24846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708609</xdr:colOff>
      <xdr:row>16</xdr:row>
      <xdr:rowOff>92870</xdr:rowOff>
    </xdr:from>
    <xdr:to>
      <xdr:col>6</xdr:col>
      <xdr:colOff>157359</xdr:colOff>
      <xdr:row>29</xdr:row>
      <xdr:rowOff>180001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tipo">
              <a:extLst>
                <a:ext uri="{FF2B5EF4-FFF2-40B4-BE49-F238E27FC236}">
                  <a16:creationId xmlns:a16="http://schemas.microsoft.com/office/drawing/2014/main" id="{F19E51FE-AAD4-4134-504C-7B545AC0F5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62411" y="3099002"/>
              <a:ext cx="1835234" cy="24819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er Cartagena" refreshedDate="45857.708557754631" createdVersion="8" refreshedVersion="8" minRefreshableVersion="3" recordCount="5" xr:uid="{11CB565A-BE31-4FE7-80D5-DC9896BEDF1E}">
  <cacheSource type="worksheet">
    <worksheetSource name="Tabla_Inversiones"/>
  </cacheSource>
  <cacheFields count="8">
    <cacheField name="fecha" numFmtId="14">
      <sharedItems containsSemiMixedTypes="0" containsNonDate="0" containsDate="1" containsString="0" minDate="2025-06-10T00:00:00" maxDate="2025-06-14T00:00:00"/>
    </cacheField>
    <cacheField name="ticker" numFmtId="0">
      <sharedItems count="5">
        <s v="MPLX"/>
        <s v="SHV"/>
        <s v="JNJ"/>
        <s v="MSFT"/>
        <s v="NVDA"/>
      </sharedItems>
    </cacheField>
    <cacheField name="cantidad" numFmtId="0">
      <sharedItems containsSemiMixedTypes="0" containsString="0" containsNumber="1" minValue="3.193E-2" maxValue="0.29233999999999999"/>
    </cacheField>
    <cacheField name="tipo" numFmtId="0">
      <sharedItems count="1">
        <s v="Compra"/>
      </sharedItems>
    </cacheField>
    <cacheField name="precio_actual" numFmtId="0">
      <sharedItems containsSemiMixedTypes="0" containsString="0" containsNumber="1" minValue="50.8" maxValue="510.05"/>
    </cacheField>
    <cacheField name="precio_compra" numFmtId="0">
      <sharedItems containsSemiMixedTypes="0" containsString="0" containsNumber="1" minValue="15.023745199999899" maxValue="17.468489999999999"/>
    </cacheField>
    <cacheField name="valor_actual" numFmtId="0">
      <sharedItems containsSemiMixedTypes="0" containsString="0" containsNumber="1" minValue="14.850871999999899" maxValue="18.720731999999899"/>
    </cacheField>
    <cacheField name="ganancia_perdida" numFmtId="0">
      <sharedItems containsSemiMixedTypes="0" containsString="0" containsNumber="1" minValue="-0.20756139999999901" maxValue="1.5179933999999899"/>
    </cacheField>
  </cacheFields>
  <extLst>
    <ext xmlns:x14="http://schemas.microsoft.com/office/spreadsheetml/2009/9/main" uri="{725AE2AE-9491-48be-B2B4-4EB974FC3084}">
      <x14:pivotCacheDefinition pivotCacheId="11961981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d v="2025-06-10T00:00:00"/>
    <x v="0"/>
    <n v="0.29233999999999999"/>
    <x v="0"/>
    <n v="50.8"/>
    <n v="15.058433399999901"/>
    <n v="14.850871999999899"/>
    <n v="-0.20756139999999901"/>
  </r>
  <r>
    <d v="2025-06-13T00:00:00"/>
    <x v="1"/>
    <n v="0.13605999999999999"/>
    <x v="0"/>
    <n v="110.3"/>
    <n v="15.023745199999899"/>
    <n v="15.0074179999999"/>
    <n v="-1.6327200000000899E-2"/>
  </r>
  <r>
    <d v="2025-06-13T00:00:00"/>
    <x v="2"/>
    <n v="0.11436"/>
    <x v="0"/>
    <n v="163.69999999999999"/>
    <n v="17.468489999999999"/>
    <n v="18.720731999999899"/>
    <n v="1.2522419999999901"/>
  </r>
  <r>
    <d v="2025-06-10T00:00:00"/>
    <x v="3"/>
    <n v="3.193E-2"/>
    <x v="0"/>
    <n v="510.05"/>
    <n v="15.8823013"/>
    <n v="16.2858965"/>
    <n v="0.40359519999999899"/>
  </r>
  <r>
    <d v="2025-06-10T00:00:00"/>
    <x v="4"/>
    <n v="0.10527"/>
    <x v="0"/>
    <n v="172.41"/>
    <n v="16.631607299999999"/>
    <n v="18.149600700000001"/>
    <n v="1.51799339999998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CED41-715F-4BD6-8FBF-1F7EE5039EAB}" name="TablaDinámica5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H4:J10" firstHeaderRow="0" firstDataRow="1" firstDataCol="1" rowPageCount="1" colPageCount="1"/>
  <pivotFields count="8">
    <pivotField numFmtId="14" showAll="0"/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axis="axisPage" showAll="0">
      <items count="2">
        <item x="0"/>
        <item t="default"/>
      </items>
    </pivotField>
    <pivotField showAll="0"/>
    <pivotField showAll="0"/>
    <pivotField dataField="1"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a de valor_actual" fld="6" baseField="0" baseItem="0"/>
    <dataField name="Suma de ganancia_perdida" fld="7" baseField="0" baseItem="0"/>
  </dataFields>
  <formats count="12">
    <format dxfId="60">
      <pivotArea type="all" dataOnly="0" outline="0" fieldPosition="0"/>
    </format>
    <format dxfId="61">
      <pivotArea outline="0" collapsedLevelsAreSubtotals="1" fieldPosition="0"/>
    </format>
    <format dxfId="62">
      <pivotArea field="1" type="button" dataOnly="0" labelOnly="1" outline="0" axis="axisRow" fieldPosition="0"/>
    </format>
    <format dxfId="63">
      <pivotArea dataOnly="0" labelOnly="1" fieldPosition="0">
        <references count="1">
          <reference field="1" count="0"/>
        </references>
      </pivotArea>
    </format>
    <format dxfId="64">
      <pivotArea dataOnly="0" labelOnly="1" grandRow="1" outline="0" fieldPosition="0"/>
    </format>
    <format dxfId="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6">
      <pivotArea type="all" dataOnly="0" outline="0" fieldPosition="0"/>
    </format>
    <format dxfId="67">
      <pivotArea outline="0" collapsedLevelsAreSubtotals="1" fieldPosition="0"/>
    </format>
    <format dxfId="68">
      <pivotArea field="1" type="button" dataOnly="0" labelOnly="1" outline="0" axis="axisRow" fieldPosition="0"/>
    </format>
    <format dxfId="69">
      <pivotArea dataOnly="0" labelOnly="1" fieldPosition="0">
        <references count="1">
          <reference field="1" count="0"/>
        </references>
      </pivotArea>
    </format>
    <format dxfId="70">
      <pivotArea dataOnly="0" labelOnly="1" grandRow="1" outline="0" fieldPosition="0"/>
    </format>
    <format dxfId="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cker" xr10:uid="{A14FC4DA-D01D-4C18-8E7D-38D3F5756AE0}" sourceName="ticker">
  <pivotTables>
    <pivotTable tabId="6" name="TablaDinámica5"/>
  </pivotTables>
  <data>
    <tabular pivotCacheId="1196198168">
      <items count="5">
        <i x="2" s="1"/>
        <i x="0" s="1"/>
        <i x="3" s="1"/>
        <i x="4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E24D0EFF-994E-4711-A34A-E0BB3BD8C194}" sourceName="tipo">
  <pivotTables>
    <pivotTable tabId="6" name="TablaDinámica5"/>
  </pivotTables>
  <data>
    <tabular pivotCacheId="1196198168">
      <items count="1"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cker" xr10:uid="{AE41869D-4903-427E-A50E-125663CC06FD}" cache="SegmentaciónDeDatos_ticker" caption="ticker" rowHeight="234950"/>
  <slicer name="tipo" xr10:uid="{5A9AC4FB-8990-4F31-A928-2704A5373DCF}" cache="SegmentaciónDeDatos_tipo" caption="tipo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D387C2-F76C-425C-BBBE-66FE7C97E748}" name="Tabla_Inversiones" displayName="Tabla_Inversiones" ref="A1:H6" totalsRowShown="0">
  <autoFilter ref="A1:H6" xr:uid="{B6D387C2-F76C-425C-BBBE-66FE7C97E748}"/>
  <tableColumns count="8">
    <tableColumn id="1" xr3:uid="{B68287F0-B582-4A15-808D-51FA24B3692F}" name="fecha" dataDxfId="72"/>
    <tableColumn id="2" xr3:uid="{6E56769F-5641-4210-89AB-FB5D457DD555}" name="ticker"/>
    <tableColumn id="3" xr3:uid="{DE76C486-DCC8-45CD-9150-F5279F3CCC68}" name="cantidad"/>
    <tableColumn id="4" xr3:uid="{392DD45D-980F-4DFA-8FEF-1EF27AFBC615}" name="tipo"/>
    <tableColumn id="5" xr3:uid="{B3C1B73A-0EA9-414B-9EFD-7EE3BE4064E6}" name="precio_actual"/>
    <tableColumn id="6" xr3:uid="{865CE8E4-FCB8-43C1-BE46-F5697C10BDBD}" name="precio_compra"/>
    <tableColumn id="7" xr3:uid="{20920891-21AD-4B74-B3B8-DC1EEEBADE4F}" name="valor_actual"/>
    <tableColumn id="8" xr3:uid="{BF5CF754-A00D-476A-ACCD-245F288D5FAA}" name="ganancia_perd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14FC-B3DA-4C24-8F04-E21A418EEEB8}">
  <dimension ref="A1:K35"/>
  <sheetViews>
    <sheetView tabSelected="1" zoomScale="91" zoomScaleNormal="90" workbookViewId="0">
      <selection activeCell="I21" sqref="I21"/>
    </sheetView>
  </sheetViews>
  <sheetFormatPr baseColWidth="10" defaultRowHeight="14.4" x14ac:dyDescent="0.3"/>
  <cols>
    <col min="1" max="1" width="17.6640625" bestFit="1" customWidth="1"/>
    <col min="2" max="2" width="19.6640625" bestFit="1" customWidth="1"/>
    <col min="3" max="3" width="24.6640625" bestFit="1" customWidth="1"/>
    <col min="8" max="8" width="17.33203125" bestFit="1" customWidth="1"/>
    <col min="9" max="9" width="19.5546875" bestFit="1" customWidth="1"/>
    <col min="10" max="10" width="24.33203125" bestFit="1" customWidth="1"/>
  </cols>
  <sheetData>
    <row r="1" spans="1:11" ht="15" thickBot="1" x14ac:dyDescent="0.35">
      <c r="A1" s="5"/>
      <c r="B1" s="6"/>
      <c r="C1" s="6"/>
      <c r="D1" s="6"/>
      <c r="E1" s="6"/>
      <c r="F1" s="6"/>
      <c r="G1" s="7"/>
      <c r="H1" s="34"/>
      <c r="I1" s="33"/>
      <c r="J1" s="33"/>
      <c r="K1" s="32"/>
    </row>
    <row r="2" spans="1:11" ht="15" thickBot="1" x14ac:dyDescent="0.35">
      <c r="A2" s="8"/>
      <c r="B2" s="9"/>
      <c r="C2" s="9"/>
      <c r="D2" s="9"/>
      <c r="E2" s="9"/>
      <c r="F2" s="9"/>
      <c r="G2" s="10"/>
      <c r="H2" s="14" t="s">
        <v>3</v>
      </c>
      <c r="I2" s="15" t="s">
        <v>19</v>
      </c>
      <c r="J2" s="28"/>
      <c r="K2" s="26"/>
    </row>
    <row r="3" spans="1:11" ht="15" thickBot="1" x14ac:dyDescent="0.35">
      <c r="A3" s="8"/>
      <c r="B3" s="9"/>
      <c r="C3" s="9"/>
      <c r="D3" s="9"/>
      <c r="E3" s="9"/>
      <c r="F3" s="9"/>
      <c r="G3" s="10"/>
      <c r="H3" s="27"/>
      <c r="I3" s="28"/>
      <c r="J3" s="28"/>
      <c r="K3" s="26"/>
    </row>
    <row r="4" spans="1:11" ht="15" thickBot="1" x14ac:dyDescent="0.35">
      <c r="A4" s="8"/>
      <c r="B4" s="9"/>
      <c r="C4" s="9"/>
      <c r="D4" s="9"/>
      <c r="E4" s="9"/>
      <c r="F4" s="9"/>
      <c r="G4" s="10"/>
      <c r="H4" s="19" t="s">
        <v>15</v>
      </c>
      <c r="I4" s="21" t="s">
        <v>17</v>
      </c>
      <c r="J4" s="15" t="s">
        <v>18</v>
      </c>
      <c r="K4" s="26"/>
    </row>
    <row r="5" spans="1:11" x14ac:dyDescent="0.3">
      <c r="A5" s="8"/>
      <c r="B5" s="9"/>
      <c r="C5" s="9"/>
      <c r="D5" s="9"/>
      <c r="E5" s="9"/>
      <c r="F5" s="9"/>
      <c r="G5" s="10"/>
      <c r="H5" s="23" t="s">
        <v>11</v>
      </c>
      <c r="I5" s="16">
        <v>18.720731999999899</v>
      </c>
      <c r="J5" s="17">
        <v>1.2522419999999901</v>
      </c>
      <c r="K5" s="26"/>
    </row>
    <row r="6" spans="1:11" x14ac:dyDescent="0.3">
      <c r="A6" s="8"/>
      <c r="B6" s="9"/>
      <c r="C6" s="9"/>
      <c r="D6" s="9"/>
      <c r="E6" s="9"/>
      <c r="F6" s="9"/>
      <c r="G6" s="10"/>
      <c r="H6" s="24" t="s">
        <v>8</v>
      </c>
      <c r="I6" s="22">
        <v>14.850871999999899</v>
      </c>
      <c r="J6" s="3">
        <v>-0.20756139999999901</v>
      </c>
      <c r="K6" s="26"/>
    </row>
    <row r="7" spans="1:11" x14ac:dyDescent="0.3">
      <c r="A7" s="8"/>
      <c r="B7" s="9"/>
      <c r="C7" s="9"/>
      <c r="D7" s="9"/>
      <c r="E7" s="9"/>
      <c r="F7" s="9"/>
      <c r="G7" s="10"/>
      <c r="H7" s="24" t="s">
        <v>12</v>
      </c>
      <c r="I7" s="22">
        <v>16.2858965</v>
      </c>
      <c r="J7" s="3">
        <v>0.40359519999999899</v>
      </c>
      <c r="K7" s="26"/>
    </row>
    <row r="8" spans="1:11" x14ac:dyDescent="0.3">
      <c r="A8" s="8"/>
      <c r="B8" s="9"/>
      <c r="C8" s="9"/>
      <c r="D8" s="9"/>
      <c r="E8" s="9"/>
      <c r="F8" s="9"/>
      <c r="G8" s="10"/>
      <c r="H8" s="24" t="s">
        <v>13</v>
      </c>
      <c r="I8" s="22">
        <v>18.149600700000001</v>
      </c>
      <c r="J8" s="3">
        <v>1.5179933999999899</v>
      </c>
      <c r="K8" s="26"/>
    </row>
    <row r="9" spans="1:11" ht="15" thickBot="1" x14ac:dyDescent="0.35">
      <c r="A9" s="8"/>
      <c r="B9" s="9"/>
      <c r="C9" s="9"/>
      <c r="D9" s="9"/>
      <c r="E9" s="9"/>
      <c r="F9" s="9"/>
      <c r="G9" s="10"/>
      <c r="H9" s="25" t="s">
        <v>10</v>
      </c>
      <c r="I9" s="22">
        <v>15.0074179999999</v>
      </c>
      <c r="J9" s="3">
        <v>-1.6327200000000899E-2</v>
      </c>
      <c r="K9" s="26"/>
    </row>
    <row r="10" spans="1:11" ht="15" thickBot="1" x14ac:dyDescent="0.35">
      <c r="A10" s="8"/>
      <c r="B10" s="9"/>
      <c r="C10" s="9"/>
      <c r="D10" s="9"/>
      <c r="E10" s="9"/>
      <c r="F10" s="9"/>
      <c r="G10" s="10"/>
      <c r="H10" s="20" t="s">
        <v>16</v>
      </c>
      <c r="I10" s="18">
        <v>83.014519199999697</v>
      </c>
      <c r="J10" s="4">
        <v>2.9499419999999787</v>
      </c>
      <c r="K10" s="26"/>
    </row>
    <row r="11" spans="1:11" x14ac:dyDescent="0.3">
      <c r="A11" s="8"/>
      <c r="B11" s="9"/>
      <c r="C11" s="9"/>
      <c r="D11" s="9"/>
      <c r="E11" s="9"/>
      <c r="F11" s="9"/>
      <c r="G11" s="10"/>
      <c r="H11" s="27"/>
      <c r="I11" s="28"/>
      <c r="J11" s="28"/>
      <c r="K11" s="26"/>
    </row>
    <row r="12" spans="1:11" ht="15" thickBot="1" x14ac:dyDescent="0.35">
      <c r="A12" s="8"/>
      <c r="B12" s="9"/>
      <c r="C12" s="9"/>
      <c r="D12" s="9"/>
      <c r="E12" s="9"/>
      <c r="F12" s="9"/>
      <c r="G12" s="10"/>
      <c r="H12" s="29"/>
      <c r="I12" s="30"/>
      <c r="J12" s="30"/>
      <c r="K12" s="31"/>
    </row>
    <row r="13" spans="1:11" x14ac:dyDescent="0.3">
      <c r="A13" s="8"/>
      <c r="B13" s="9"/>
      <c r="C13" s="9"/>
      <c r="D13" s="9"/>
      <c r="E13" s="9"/>
      <c r="F13" s="9"/>
      <c r="G13" s="10"/>
    </row>
    <row r="14" spans="1:11" x14ac:dyDescent="0.3">
      <c r="A14" s="8"/>
      <c r="B14" s="9"/>
      <c r="C14" s="9"/>
      <c r="D14" s="9"/>
      <c r="E14" s="9"/>
      <c r="F14" s="9"/>
      <c r="G14" s="10"/>
    </row>
    <row r="15" spans="1:11" x14ac:dyDescent="0.3">
      <c r="A15" s="8"/>
      <c r="B15" s="9"/>
      <c r="C15" s="9"/>
      <c r="D15" s="9"/>
      <c r="E15" s="9"/>
      <c r="F15" s="9"/>
      <c r="G15" s="10"/>
    </row>
    <row r="16" spans="1:11" x14ac:dyDescent="0.3">
      <c r="A16" s="8"/>
      <c r="B16" s="9"/>
      <c r="C16" s="9"/>
      <c r="D16" s="9"/>
      <c r="E16" s="9"/>
      <c r="F16" s="9"/>
      <c r="G16" s="10"/>
    </row>
    <row r="17" spans="1:7" x14ac:dyDescent="0.3">
      <c r="A17" s="8"/>
      <c r="B17" s="9"/>
      <c r="C17" s="9"/>
      <c r="D17" s="9"/>
      <c r="E17" s="9"/>
      <c r="F17" s="9"/>
      <c r="G17" s="10"/>
    </row>
    <row r="18" spans="1:7" x14ac:dyDescent="0.3">
      <c r="A18" s="8"/>
      <c r="B18" s="9"/>
      <c r="C18" s="9"/>
      <c r="D18" s="9"/>
      <c r="E18" s="9"/>
      <c r="F18" s="9"/>
      <c r="G18" s="10"/>
    </row>
    <row r="19" spans="1:7" x14ac:dyDescent="0.3">
      <c r="A19" s="8"/>
      <c r="B19" s="9"/>
      <c r="C19" s="9"/>
      <c r="D19" s="9"/>
      <c r="E19" s="9"/>
      <c r="F19" s="9"/>
      <c r="G19" s="10"/>
    </row>
    <row r="20" spans="1:7" x14ac:dyDescent="0.3">
      <c r="A20" s="8"/>
      <c r="B20" s="9"/>
      <c r="C20" s="9"/>
      <c r="D20" s="9"/>
      <c r="E20" s="9"/>
      <c r="F20" s="9"/>
      <c r="G20" s="10"/>
    </row>
    <row r="21" spans="1:7" x14ac:dyDescent="0.3">
      <c r="A21" s="8"/>
      <c r="B21" s="9"/>
      <c r="C21" s="9"/>
      <c r="D21" s="9"/>
      <c r="E21" s="9"/>
      <c r="F21" s="9"/>
      <c r="G21" s="10"/>
    </row>
    <row r="22" spans="1:7" x14ac:dyDescent="0.3">
      <c r="A22" s="8"/>
      <c r="B22" s="9"/>
      <c r="C22" s="9"/>
      <c r="D22" s="9"/>
      <c r="E22" s="9"/>
      <c r="F22" s="9"/>
      <c r="G22" s="10"/>
    </row>
    <row r="23" spans="1:7" x14ac:dyDescent="0.3">
      <c r="A23" s="8"/>
      <c r="B23" s="9"/>
      <c r="C23" s="9"/>
      <c r="D23" s="9"/>
      <c r="E23" s="9"/>
      <c r="F23" s="9"/>
      <c r="G23" s="10"/>
    </row>
    <row r="24" spans="1:7" x14ac:dyDescent="0.3">
      <c r="A24" s="8"/>
      <c r="B24" s="9"/>
      <c r="C24" s="9"/>
      <c r="D24" s="9"/>
      <c r="E24" s="9"/>
      <c r="F24" s="9"/>
      <c r="G24" s="10"/>
    </row>
    <row r="25" spans="1:7" x14ac:dyDescent="0.3">
      <c r="A25" s="8"/>
      <c r="B25" s="9"/>
      <c r="C25" s="9"/>
      <c r="D25" s="9"/>
      <c r="E25" s="9"/>
      <c r="F25" s="9"/>
      <c r="G25" s="10"/>
    </row>
    <row r="26" spans="1:7" x14ac:dyDescent="0.3">
      <c r="A26" s="8"/>
      <c r="B26" s="9"/>
      <c r="C26" s="9"/>
      <c r="D26" s="9"/>
      <c r="E26" s="9"/>
      <c r="F26" s="9"/>
      <c r="G26" s="10"/>
    </row>
    <row r="27" spans="1:7" x14ac:dyDescent="0.3">
      <c r="A27" s="8"/>
      <c r="B27" s="9"/>
      <c r="C27" s="9"/>
      <c r="D27" s="9"/>
      <c r="E27" s="9"/>
      <c r="F27" s="9"/>
      <c r="G27" s="10"/>
    </row>
    <row r="28" spans="1:7" x14ac:dyDescent="0.3">
      <c r="A28" s="8"/>
      <c r="B28" s="9"/>
      <c r="C28" s="9"/>
      <c r="D28" s="9"/>
      <c r="E28" s="9"/>
      <c r="F28" s="9"/>
      <c r="G28" s="10"/>
    </row>
    <row r="29" spans="1:7" x14ac:dyDescent="0.3">
      <c r="A29" s="8"/>
      <c r="B29" s="9"/>
      <c r="C29" s="9"/>
      <c r="D29" s="9"/>
      <c r="E29" s="9"/>
      <c r="F29" s="9"/>
      <c r="G29" s="10"/>
    </row>
    <row r="30" spans="1:7" x14ac:dyDescent="0.3">
      <c r="A30" s="8"/>
      <c r="B30" s="9"/>
      <c r="C30" s="9"/>
      <c r="D30" s="9"/>
      <c r="E30" s="9"/>
      <c r="F30" s="9"/>
      <c r="G30" s="10"/>
    </row>
    <row r="31" spans="1:7" x14ac:dyDescent="0.3">
      <c r="A31" s="8"/>
      <c r="B31" s="9"/>
      <c r="C31" s="9"/>
      <c r="D31" s="9"/>
      <c r="E31" s="9"/>
      <c r="F31" s="9"/>
      <c r="G31" s="10"/>
    </row>
    <row r="32" spans="1:7" x14ac:dyDescent="0.3">
      <c r="A32" s="8"/>
      <c r="B32" s="9"/>
      <c r="C32" s="9"/>
      <c r="D32" s="9"/>
      <c r="E32" s="9"/>
      <c r="F32" s="9"/>
      <c r="G32" s="10"/>
    </row>
    <row r="33" spans="1:7" x14ac:dyDescent="0.3">
      <c r="A33" s="8"/>
      <c r="B33" s="9"/>
      <c r="C33" s="9"/>
      <c r="D33" s="9"/>
      <c r="E33" s="9"/>
      <c r="F33" s="9"/>
      <c r="G33" s="10"/>
    </row>
    <row r="34" spans="1:7" x14ac:dyDescent="0.3">
      <c r="A34" s="8"/>
      <c r="B34" s="9"/>
      <c r="C34" s="9"/>
      <c r="D34" s="9"/>
      <c r="E34" s="9"/>
      <c r="F34" s="9"/>
      <c r="G34" s="10"/>
    </row>
    <row r="35" spans="1:7" ht="15" thickBot="1" x14ac:dyDescent="0.35">
      <c r="A35" s="11"/>
      <c r="B35" s="12"/>
      <c r="C35" s="12"/>
      <c r="D35" s="12"/>
      <c r="E35" s="12"/>
      <c r="F35" s="12"/>
      <c r="G35" s="13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64D2-4D59-4A1C-8CE9-152FA9A33653}">
  <dimension ref="A1:H31"/>
  <sheetViews>
    <sheetView workbookViewId="0">
      <selection activeCell="G7" sqref="G7"/>
    </sheetView>
  </sheetViews>
  <sheetFormatPr baseColWidth="10" defaultRowHeight="14.4" x14ac:dyDescent="0.3"/>
  <cols>
    <col min="5" max="5" width="14.21875" customWidth="1"/>
    <col min="6" max="6" width="15.5546875" customWidth="1"/>
    <col min="7" max="7" width="13.21875" customWidth="1"/>
    <col min="8" max="8" width="17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45818</v>
      </c>
      <c r="B2" t="s">
        <v>8</v>
      </c>
      <c r="C2">
        <v>0.29233999999999999</v>
      </c>
      <c r="D2" t="s">
        <v>9</v>
      </c>
      <c r="E2">
        <v>50.8</v>
      </c>
      <c r="F2">
        <v>15.058433399999901</v>
      </c>
      <c r="G2">
        <v>14.850871999999899</v>
      </c>
      <c r="H2">
        <v>-0.20756139999999901</v>
      </c>
    </row>
    <row r="3" spans="1:8" x14ac:dyDescent="0.3">
      <c r="A3" s="1">
        <v>45821</v>
      </c>
      <c r="B3" t="s">
        <v>10</v>
      </c>
      <c r="C3">
        <v>0.13605999999999999</v>
      </c>
      <c r="D3" t="s">
        <v>9</v>
      </c>
      <c r="E3">
        <v>110.3</v>
      </c>
      <c r="F3">
        <v>15.023745199999899</v>
      </c>
      <c r="G3">
        <v>15.0074179999999</v>
      </c>
      <c r="H3">
        <v>-1.6327200000000899E-2</v>
      </c>
    </row>
    <row r="4" spans="1:8" x14ac:dyDescent="0.3">
      <c r="A4" s="1">
        <v>45821</v>
      </c>
      <c r="B4" t="s">
        <v>11</v>
      </c>
      <c r="C4">
        <v>0.11436</v>
      </c>
      <c r="D4" t="s">
        <v>9</v>
      </c>
      <c r="E4">
        <v>163.69999999999999</v>
      </c>
      <c r="F4">
        <v>17.468489999999999</v>
      </c>
      <c r="G4">
        <v>18.720731999999899</v>
      </c>
      <c r="H4">
        <v>1.2522419999999901</v>
      </c>
    </row>
    <row r="5" spans="1:8" x14ac:dyDescent="0.3">
      <c r="A5" s="1">
        <v>45818</v>
      </c>
      <c r="B5" t="s">
        <v>12</v>
      </c>
      <c r="C5">
        <v>3.193E-2</v>
      </c>
      <c r="D5" t="s">
        <v>9</v>
      </c>
      <c r="E5">
        <v>510.05</v>
      </c>
      <c r="F5">
        <v>15.8823013</v>
      </c>
      <c r="G5">
        <v>16.2858965</v>
      </c>
      <c r="H5">
        <v>0.40359519999999899</v>
      </c>
    </row>
    <row r="6" spans="1:8" x14ac:dyDescent="0.3">
      <c r="A6" s="1">
        <v>45818</v>
      </c>
      <c r="B6" t="s">
        <v>13</v>
      </c>
      <c r="C6">
        <v>0.10527</v>
      </c>
      <c r="D6" t="s">
        <v>9</v>
      </c>
      <c r="E6">
        <v>172.41</v>
      </c>
      <c r="F6">
        <v>16.631607299999999</v>
      </c>
      <c r="G6">
        <v>18.149600700000001</v>
      </c>
      <c r="H6">
        <v>1.5179933999999899</v>
      </c>
    </row>
    <row r="7" spans="1:8" x14ac:dyDescent="0.3">
      <c r="A7" t="s">
        <v>14</v>
      </c>
      <c r="F7">
        <v>80.064577200000002</v>
      </c>
      <c r="G7">
        <v>83.014519199999995</v>
      </c>
      <c r="H7">
        <v>2.9499419999999899</v>
      </c>
    </row>
    <row r="31" spans="5:5" x14ac:dyDescent="0.3">
      <c r="E3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</vt:lpstr>
      <vt:lpstr>reporte_inversiones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Kener Cartagena</dc:creator>
  <cp:lastModifiedBy>Kener Cartagena</cp:lastModifiedBy>
  <dcterms:created xsi:type="dcterms:W3CDTF">2025-07-19T22:36:54Z</dcterms:created>
  <dcterms:modified xsi:type="dcterms:W3CDTF">2025-07-19T23:29:08Z</dcterms:modified>
</cp:coreProperties>
</file>